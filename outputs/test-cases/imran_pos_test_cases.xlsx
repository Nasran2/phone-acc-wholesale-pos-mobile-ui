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Phone_acc_imran/outputs/test-cases/"/>
    </mc:Choice>
  </mc:AlternateContent>
  <xr:revisionPtr revIDLastSave="0" documentId="13_ncr:1_{7D250FD2-F85C-9E40-8345-21B96408A452}" xr6:coauthVersionLast="47" xr6:coauthVersionMax="47" xr10:uidLastSave="{00000000-0000-0000-0000-000000000000}"/>
  <bookViews>
    <workbookView xWindow="0" yWindow="620" windowWidth="33600" windowHeight="19080" xr2:uid="{00000000-000D-0000-FFFF-FFFF00000000}"/>
  </bookViews>
  <sheets>
    <sheet name="Summary" sheetId="1" r:id="rId1"/>
    <sheet name="Test Cases" sheetId="2" r:id="rId2"/>
    <sheet name="Test Data" sheetId="3" r:id="rId3"/>
    <sheet name="Coverage Ma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<sst xmlns="http://schemas.openxmlformats.org/spreadsheetml/2006/main" count="424" uniqueCount="293">
  <si>
    <t>IMRAN POS - Test Case Workbook</t>
  </si>
  <si>
    <t>Generated 2026-05-24 from current Laravel/Pest coverage</t>
  </si>
  <si>
    <t>Metric</t>
  </si>
  <si>
    <t>Value</t>
  </si>
  <si>
    <t>Module</t>
  </si>
  <si>
    <t>Automated Cases</t>
  </si>
  <si>
    <t>Manual Cases</t>
  </si>
  <si>
    <t>Key Risks Covered</t>
  </si>
  <si>
    <t>Total Test Cases</t>
  </si>
  <si>
    <t>Product</t>
  </si>
  <si>
    <t>Product creation, list loading, POS search.</t>
  </si>
  <si>
    <t>Customer</t>
  </si>
  <si>
    <t>Customer creation, quick checkout customer, ledger timeline, public bill customer view.</t>
  </si>
  <si>
    <t>POS Sale</t>
  </si>
  <si>
    <t>Full payment, due sale, customer checkout, cart edit, discounts, stock deduction, POS PDF share.</t>
  </si>
  <si>
    <t>High Priority Cases</t>
  </si>
  <si>
    <t>Cheque</t>
  </si>
  <si>
    <t>Pending cheque, walk-in blocking, passed/returned cheque, auto-pass aging.</t>
  </si>
  <si>
    <t>Medium Priority Cases</t>
  </si>
  <si>
    <t>Purchase</t>
  </si>
  <si>
    <t>Restock entry, supplier due, stock and pricing updates, restock deep link.</t>
  </si>
  <si>
    <t>Low Priority Cases</t>
  </si>
  <si>
    <t>Reports &amp; Accounting</t>
  </si>
  <si>
    <t>Business report filters, accounting ledgers, server-side PDF export.</t>
  </si>
  <si>
    <t>PDF / Export</t>
  </si>
  <si>
    <t>Accounting PDF is automated; browser-generated jsPDF exports require manual/browser test.</t>
  </si>
  <si>
    <t>SMS / Expense</t>
  </si>
  <si>
    <t>SMS gateway behavior and expense page smoke coverage.</t>
  </si>
  <si>
    <t>Notes</t>
  </si>
  <si>
    <t>Automated cases are covered by Pest/Livewire tests in the repository. Manual cases mostly involve browser-generated jsPDF flows (POS bill, sales invoice, customer ledger) where a real browser should verify download/share behavior, filename, and visual PDF output.</t>
  </si>
  <si>
    <t>Test Case ID</t>
  </si>
  <si>
    <t>Scenario</t>
  </si>
  <si>
    <t>Priority</t>
  </si>
  <si>
    <t>Preconditions</t>
  </si>
  <si>
    <t>Step-by-step Actions</t>
  </si>
  <si>
    <t>Test Data</t>
  </si>
  <si>
    <t>Expected Result</t>
  </si>
  <si>
    <t>Automation Reference</t>
  </si>
  <si>
    <t>Status</t>
  </si>
  <si>
    <t>TC-001</t>
  </si>
  <si>
    <t>Authentication</t>
  </si>
  <si>
    <t>Login as super admin</t>
  </si>
  <si>
    <t>High</t>
  </si>
  <si>
    <t>Active super_admin user exists.</t>
  </si>
  <si>
    <t>1. Open login page.
2. Enter valid email or username.
3. Enter valid password.
4. Click login.</t>
  </si>
  <si>
    <t>Role: super_admin
is_active: true</t>
  </si>
  <si>
    <t>User is redirected to dashboard and can access protected pages.</t>
  </si>
  <si>
    <t>Existing: Auth/AuthenticationTest.php</t>
  </si>
  <si>
    <t>Automated</t>
  </si>
  <si>
    <t>TC-002</t>
  </si>
  <si>
    <t>Add product with full product details and image</t>
  </si>
  <si>
    <t>Category, brand, and unit exist.</t>
  </si>
  <si>
    <t>1. Go to Products &gt; Add Product.
2. Fill name, SKU, barcode, category, brand, unit.
3. Enter cost, selling, wholesale price, stock, minimum stock.
4. Add compatible models, color, warranty, and image.
5. Save.</t>
  </si>
  <si>
    <t>Name: Matte Shockproof Case
SKU: CASE-001
Stock: 15</t>
  </si>
  <si>
    <t>Product is saved, linked to category/brand/unit, and image is stored.</t>
  </si>
  <si>
    <t>Existing: ProductManagementTest.php</t>
  </si>
  <si>
    <t>TC-003</t>
  </si>
  <si>
    <t>View product list</t>
  </si>
  <si>
    <t>Medium</t>
  </si>
  <si>
    <t>At least one product exists.</t>
  </si>
  <si>
    <t>1. Login.
2. Open Products page.</t>
  </si>
  <si>
    <t>Route: products.index</t>
  </si>
  <si>
    <t>Products page loads successfully and product records are visible.</t>
  </si>
  <si>
    <t>TC-004</t>
  </si>
  <si>
    <t>POS product search filters catalog</t>
  </si>
  <si>
    <t>Sample products are seeded.</t>
  </si>
  <si>
    <t>1. Open POS terminal.
2. Type product keyword in search.
3. Review filtered results.</t>
  </si>
  <si>
    <t>Search: AirPods</t>
  </si>
  <si>
    <t>Matching product appears and unrelated products are hidden.</t>
  </si>
  <si>
    <t>Existing: PosTerminalTest.php</t>
  </si>
  <si>
    <t>TC-005</t>
  </si>
  <si>
    <t>Add customer with opening due balance</t>
  </si>
  <si>
    <t>User is logged in.</t>
  </si>
  <si>
    <t>1. Open Customers page.
2. Enter customer name, phone, email, address.
3. Enter opening balance.
4. Save customer.</t>
  </si>
  <si>
    <t>Name: Step Customer
Opening balance: 750</t>
  </si>
  <si>
    <t>Customer is saved. Opening balance and due balance both equal 750.</t>
  </si>
  <si>
    <t>New: FullWorkflowTest.php</t>
  </si>
  <si>
    <t>TC-006</t>
  </si>
  <si>
    <t>Add quick customer during checkout</t>
  </si>
  <si>
    <t>POS terminal is open.</t>
  </si>
  <si>
    <t>1. Search customer name in POS.
2. Click add quick customer.
3. Fill name, phone, email.
4. Save customer.</t>
  </si>
  <si>
    <t>Name: Checkout Customer
Phone: 0771234003</t>
  </si>
  <si>
    <t>Customer is created, selected on the checkout, and due balance starts at 0.</t>
  </si>
  <si>
    <t>TC-007</t>
  </si>
  <si>
    <t>Customer Ledger</t>
  </si>
  <si>
    <t>Customer ledger shows bill and payment timeline</t>
  </si>
  <si>
    <t>Customer has one sale and one payment.</t>
  </si>
  <si>
    <t>1. Open Customers page.
2. Click customer ledger.
3. Review bills and payments timeline.</t>
  </si>
  <si>
    <t>Bill: INV-LEDGER-1
Payment ref: CASH-77</t>
  </si>
  <si>
    <t>Ledger shows bill number, bill date, paid date, payment note, reference, and opening balance.</t>
  </si>
  <si>
    <t>Existing: CustomerLedgerTest.php</t>
  </si>
  <si>
    <t>TC-008</t>
  </si>
  <si>
    <t>Full cash sale</t>
  </si>
  <si>
    <t>Customer and in-stock product exist.</t>
  </si>
  <si>
    <t>1. Open POS.
2. Add product to cart.
3. Set quantity to 2.
4. Select customer.
5. Select payment method cash.
6. Enter full amount.
7. Submit checkout.</t>
  </si>
  <si>
    <t>Product price: 250
Quantity: 2
Paid: 500</t>
  </si>
  <si>
    <t>Sale status is paid, due is 0, cash payment is recorded, customer due remains 0, stock decreases by 2.</t>
  </si>
  <si>
    <t>TC-009</t>
  </si>
  <si>
    <t>Partial cash sale with due balance</t>
  </si>
  <si>
    <t>Customer and in-stock product exist. Due sales enabled.</t>
  </si>
  <si>
    <t>1. Open POS.
2. Add product.
3. Select customer.
4. Select cash.
5. Enter less than total.
6. Submit checkout.</t>
  </si>
  <si>
    <t>Total: 1000
Paid: 400
Due: 600</t>
  </si>
  <si>
    <t>Sale status is partial, paid is 400, due is 600, customer due increases by 600, stock decreases.</t>
  </si>
  <si>
    <t>TC-010</t>
  </si>
  <si>
    <t>Customer and full sale in one checkout</t>
  </si>
  <si>
    <t>Product exists with stock.</t>
  </si>
  <si>
    <t>1. Open POS.
2. Add quick customer.
3. Add product to cart.
4. Select cash.
5. Pay full amount.
6. Submit checkout.</t>
  </si>
  <si>
    <t>Customer: Checkout Customer
Paid: 175</t>
  </si>
  <si>
    <t>New customer is linked to sale. Sale status is paid and customer due remains 0.</t>
  </si>
  <si>
    <t>TC-011</t>
  </si>
  <si>
    <t>Cart item quantity, price, and discount edit</t>
  </si>
  <si>
    <t>Product exists in POS catalog.</t>
  </si>
  <si>
    <t>1. Add product to cart.
2. Open cart item editor.
3. Change quantity.
4. Change unit price.
5. Apply percentage discount.
6. Save item.</t>
  </si>
  <si>
    <t>Quantity: 2
Unit price: 1200
Discount: 10%</t>
  </si>
  <si>
    <t>Cart item subtotal recalculates to 2160, price type is custom, and checkout paid amount syncs.</t>
  </si>
  <si>
    <t>TC-012</t>
  </si>
  <si>
    <t>Fixed sale discount checkout</t>
  </si>
  <si>
    <t>Customer and product exist.</t>
  </si>
  <si>
    <t>1. Add product to cart.
2. Select customer.
3. Select fixed discount.
4. Enter discount.
5. Pay discounted total.
6. Submit.</t>
  </si>
  <si>
    <t>Gross: 1500
Fixed discount: 200</t>
  </si>
  <si>
    <t>Discount amount is 200 and grand total is 1300.</t>
  </si>
  <si>
    <t>TC-013</t>
  </si>
  <si>
    <t>Percentage sale discount checkout</t>
  </si>
  <si>
    <t>1. Add product to cart.
2. Select customer.
3. Select percentage discount.
4. Enter discount percent.
5. Pay discounted total.
6. Submit.</t>
  </si>
  <si>
    <t>Gross: 1500
Discount: 10%</t>
  </si>
  <si>
    <t>Discount amount is 150 and grand total is 1350.</t>
  </si>
  <si>
    <t>TC-014</t>
  </si>
  <si>
    <t>Cheque Sale</t>
  </si>
  <si>
    <t>Cheque sale creates pending payment and due invoice</t>
  </si>
  <si>
    <t>Registered customer exists. Product exists.</t>
  </si>
  <si>
    <t>1. Open POS.
2. Add product.
3. Select registered customer.
4. Select payment method cheque.
5. Enter cheque amount, bank, number, date.
6. Submit checkout.</t>
  </si>
  <si>
    <t>Bank: BOC
Cheque: CHQ-100
Amount: 1500</t>
  </si>
  <si>
    <t>Sale status is cheque_pending, paid is 0, due equals cheque amount, payment cheque_status is pending, customer due increases.</t>
  </si>
  <si>
    <t>TC-015</t>
  </si>
  <si>
    <t>Cheque sale blocked for walk-in customer</t>
  </si>
  <si>
    <t>Walk-in Customer exists.</t>
  </si>
  <si>
    <t>1. Open POS.
2. Add product.
3. Select Walk-in Customer.
4. Select cheque.
5. Fill cheque fields.
6. Submit.</t>
  </si>
  <si>
    <t>Walk-in phone: 0000000000</t>
  </si>
  <si>
    <t>Validation error appears on customer selection. Cheque sale is not saved.</t>
  </si>
  <si>
    <t>TC-016</t>
  </si>
  <si>
    <t>Cheque Processing</t>
  </si>
  <si>
    <t>Passing pending cheque settles sale</t>
  </si>
  <si>
    <t>Pending cheque payment exists.</t>
  </si>
  <si>
    <t>1. Open cheque follow-up or process cheque service.
2. Mark cheque as passed.</t>
  </si>
  <si>
    <t>Cheque status: pending
Amount: 1000</t>
  </si>
  <si>
    <t>Cheque status becomes passed. Sale becomes paid. Customer due decreases by cheque amount.</t>
  </si>
  <si>
    <t>Existing: ChequePaymentTest.php</t>
  </si>
  <si>
    <t>TC-017</t>
  </si>
  <si>
    <t>Returning pending cheque leaves invoice due</t>
  </si>
  <si>
    <t>1. Open cheque follow-up or process cheque service.
2. Mark cheque as returned.</t>
  </si>
  <si>
    <t>Cheque status becomes returned. Sale remains due and customer balance remains outstanding.</t>
  </si>
  <si>
    <t>TC-018</t>
  </si>
  <si>
    <t>Old pending cheques pass automatically</t>
  </si>
  <si>
    <t>Pending cheque older than auto-pass threshold exists.</t>
  </si>
  <si>
    <t>1. Trigger cheque auto-pass process.
2. Review sale and payment.</t>
  </si>
  <si>
    <t>Cheque date: older than 7 days</t>
  </si>
  <si>
    <t>Eligible cheque is passed automatically and sale/customer balances are updated.</t>
  </si>
  <si>
    <t>TC-019</t>
  </si>
  <si>
    <t>Sale Due</t>
  </si>
  <si>
    <t>Collect full due payment from sales invoice</t>
  </si>
  <si>
    <t>Partial sale exists with customer due.</t>
  </si>
  <si>
    <t>1. Open Sales page.
2. View invoice.
3. Open Pay Due modal.
4. Enter full due amount.
5. Select cash and reference.
6. Submit.</t>
  </si>
  <si>
    <t>Invoice: INV-DUE-100
Due: 600
Ref: DUE-CASH-100</t>
  </si>
  <si>
    <t>Sale becomes paid, due becomes 0, paid amount increases, customer due becomes 0, payment ledger record is created.</t>
  </si>
  <si>
    <t>TC-020</t>
  </si>
  <si>
    <t>Add purchase and restock product</t>
  </si>
  <si>
    <t>Supplier and product exist.</t>
  </si>
  <si>
    <t>1. Open Purchases &gt; Create.
2. Select supplier.
3. Select product.
4. Set quantity, cost price, selling price.
5. Enter discount and paid amount.
6. Save purchase.</t>
  </si>
  <si>
    <t>Quantity: 4
Cost: 90
Sell: 160
Paid: 200
Discount: 20</t>
  </si>
  <si>
    <t>Purchase is saved as partial, supplier due increases by 140, product stock increases by 4, product cost/selling prices update.</t>
  </si>
  <si>
    <t>TC-021</t>
  </si>
  <si>
    <t>Restock button opens purchase with product prefilled</t>
  </si>
  <si>
    <t>Low-stock product exists.</t>
  </si>
  <si>
    <t>1. Open dashboard.
2. Click restock button for low-stock product.
3. Open purchase create page.</t>
  </si>
  <si>
    <t>Product stock: 1
Minimum: 5</t>
  </si>
  <si>
    <t>Purchase form opens with selected product already in cart with cost and selling price populated.</t>
  </si>
  <si>
    <t>Existing: PurchaseRestockIntegrationTest.php</t>
  </si>
  <si>
    <t>TC-022</t>
  </si>
  <si>
    <t>Purchase index links to supplier ledger and product detail</t>
  </si>
  <si>
    <t>Low</t>
  </si>
  <si>
    <t>Purchase with supplier and product exists.</t>
  </si>
  <si>
    <t>1. Open Purchases page.
2. Open purchase invoice drawer.
3. Check supplier and product links.</t>
  </si>
  <si>
    <t>Invoice: PUR-TEST-123</t>
  </si>
  <si>
    <t>Supplier link points to supplier ledger and product link points to product details.</t>
  </si>
  <si>
    <t>TC-023</t>
  </si>
  <si>
    <t>Sales</t>
  </si>
  <si>
    <t>Sales invoice drawer displays PDF share controls</t>
  </si>
  <si>
    <t>Sale exists.</t>
  </si>
  <si>
    <t>1. Open Sales page.
2. View an invoice.
3. Check PDF share section.</t>
  </si>
  <si>
    <t>Button: Share PDF</t>
  </si>
  <si>
    <t>Invoice drawer displays Share PDF action and PDF ready/download controls after generation.</t>
  </si>
  <si>
    <t>Manual + existing page assertions</t>
  </si>
  <si>
    <t>Manual</t>
  </si>
  <si>
    <t>TC-024</t>
  </si>
  <si>
    <t>POS Export</t>
  </si>
  <si>
    <t>POS success modal can prepare/share PDF bill</t>
  </si>
  <si>
    <t>Completed POS sale exists.</t>
  </si>
  <si>
    <t>1. Complete POS checkout.
2. On success modal click Share PDF Bill.
3. Wait for PDF generation.
4. Download or share.</t>
  </si>
  <si>
    <t>Invoice generated from checkout</t>
  </si>
  <si>
    <t>A PDF file is generated with the invoice number as filename and can be downloaded/shared.</t>
  </si>
  <si>
    <t>Manual browser test recommended</t>
  </si>
  <si>
    <t>TC-025</t>
  </si>
  <si>
    <t>Customer Export</t>
  </si>
  <si>
    <t>Customer ledger PDF statement generation</t>
  </si>
  <si>
    <t>Customer has ledger entries.</t>
  </si>
  <si>
    <t>1. Open customer ledger.
2. Click Share PDF.
3. Wait for PDF statement.
4. Download.</t>
  </si>
  <si>
    <t>Customer: Ledger Customer</t>
  </si>
  <si>
    <t>Ledger PDF statement is prepared and download filename includes customer name and Ledger.</t>
  </si>
  <si>
    <t>TC-026</t>
  </si>
  <si>
    <t>Accounting Export</t>
  </si>
  <si>
    <t>Accounting cash book PDF download</t>
  </si>
  <si>
    <t>User can access accounting reports.</t>
  </si>
  <si>
    <t>1. Open Accounting &gt; Cash Book.
2. Click PDF / Print export.
3. Download file.</t>
  </si>
  <si>
    <t>Report: cash-book</t>
  </si>
  <si>
    <t>Server-side PDF download is triggered as cash-book-report.pdf.</t>
  </si>
  <si>
    <t>TC-027</t>
  </si>
  <si>
    <t>Reports</t>
  </si>
  <si>
    <t>Visit every business report page</t>
  </si>
  <si>
    <t>1. Open each Reports page.
2. Confirm heading and signature/footer areas.
3. Confirm PDF / Print action exists.</t>
  </si>
  <si>
    <t>Sales, Purchases, Profit &amp; Loss, Stock, Expenses, Receives, Debits, Due Bills, Customer Dues</t>
  </si>
  <si>
    <t>Each report page loads with correct heading, PDF / Print action, Prepared By, and Authorized Signatory.</t>
  </si>
  <si>
    <t>Existing: BusinessReportsTest.php</t>
  </si>
  <si>
    <t>TC-028</t>
  </si>
  <si>
    <t>Business report filters return expected records</t>
  </si>
  <si>
    <t>Report transactions exist.</t>
  </si>
  <si>
    <t>1. Open Sales report.
2. Filter by partial.
3. Search missing invoice.
4. Open Receives and Debits reports.
5. Filter payment methods.</t>
  </si>
  <si>
    <t>Invoice: INV-REPORT-100
Method: bank_transfer</t>
  </si>
  <si>
    <t>Filters show matching records and hide non-matching records.</t>
  </si>
  <si>
    <t>TC-029</t>
  </si>
  <si>
    <t>Accounting</t>
  </si>
  <si>
    <t>Accounting pages separate cash-in cash-out bank transfers and ledgers</t>
  </si>
  <si>
    <t>Sales, purchase, customer payment, and expenses exist.</t>
  </si>
  <si>
    <t>1. Open Cash In.
2. Open Cash Out.
3. Open Bank Transfers.
4. Open Payment Method Report.
5. Open T Accounts.</t>
  </si>
  <si>
    <t>Cash sale, bank due payment, purchase payment, card expense</t>
  </si>
  <si>
    <t>Cash-in shows inflows only, cash-out shows outflows only, bank report shows transfers, T accounts group ledgers correctly.</t>
  </si>
  <si>
    <t>Existing: AccountingReportsTest.php</t>
  </si>
  <si>
    <t>TC-030</t>
  </si>
  <si>
    <t>Public Bill</t>
  </si>
  <si>
    <t>Public bill page opens without login</t>
  </si>
  <si>
    <t>Sale exists with invoice number.</t>
  </si>
  <si>
    <t>1. Copy public bill URL.
2. Open URL in logged-out browser.
3. Review bill details.</t>
  </si>
  <si>
    <t>Route: bill/{invoice_no}</t>
  </si>
  <si>
    <t>Public bill displays invoice, customer, items, and payment details without requiring authentication.</t>
  </si>
  <si>
    <t>Manual + controller coverage recommended</t>
  </si>
  <si>
    <t>TC-031</t>
  </si>
  <si>
    <t>SMS</t>
  </si>
  <si>
    <t>Sale notification template can be parsed and sent when enabled</t>
  </si>
  <si>
    <t>SMS settings are enabled and customer has valid phone.</t>
  </si>
  <si>
    <t>1. Complete sale.
2. Confirm SMS notification service runs.
3. Review SMS log.</t>
  </si>
  <si>
    <t>Ref prefix: SALE-</t>
  </si>
  <si>
    <t>SMS log records successful or failed delivery with parsed sale template.</t>
  </si>
  <si>
    <t>Existing: SmsGatewayTest.php</t>
  </si>
  <si>
    <t>TC-032</t>
  </si>
  <si>
    <t>Expense</t>
  </si>
  <si>
    <t>Expense page and categories are accessible</t>
  </si>
  <si>
    <t>1. Open Expenses.
2. Open Add Expense.
3. Open Expense Categories.</t>
  </si>
  <si>
    <t>Routes: expenses.index, expenses.create, expenses.categories</t>
  </si>
  <si>
    <t>Expense pages load without errors.</t>
  </si>
  <si>
    <t>Existing: ExpensesPagesTest.php</t>
  </si>
  <si>
    <t>Entity</t>
  </si>
  <si>
    <t>Field</t>
  </si>
  <si>
    <t>User</t>
  </si>
  <si>
    <t>role</t>
  </si>
  <si>
    <t>super_admin</t>
  </si>
  <si>
    <t>Required to access POS, products, purchases, reports, and accounting.</t>
  </si>
  <si>
    <t>Step Customer opening balance</t>
  </si>
  <si>
    <t>Expected due_balance also 750.</t>
  </si>
  <si>
    <t>Checkout Customer phone</t>
  </si>
  <si>
    <t>0771234003</t>
  </si>
  <si>
    <t>Quick customer created inside POS checkout.</t>
  </si>
  <si>
    <t>Full Pay Case</t>
  </si>
  <si>
    <t>Cost 100 / Sell 250 / Stock 8</t>
  </si>
  <si>
    <t>Full cash sale quantity 2.</t>
  </si>
  <si>
    <t>Due Pay Charger</t>
  </si>
  <si>
    <t>Cost 400 / Sell 1000 / Stock 4</t>
  </si>
  <si>
    <t>Partial sale due amount 600.</t>
  </si>
  <si>
    <t>Restock Battery</t>
  </si>
  <si>
    <t>Cost 80 / Sell 140 / Stock 5</t>
  </si>
  <si>
    <t>Purchase restock updates cost to 90 and sell to 160.</t>
  </si>
  <si>
    <t>Supplier</t>
  </si>
  <si>
    <t>Workflow Supplier opening due</t>
  </si>
  <si>
    <t>Expected due after purchase is 140.</t>
  </si>
  <si>
    <t>Sale</t>
  </si>
  <si>
    <t>INV-DUE-100</t>
  </si>
  <si>
    <t>Grand 1000 / Paid 400 / Due 600</t>
  </si>
  <si>
    <t>Due payment collection test.</t>
  </si>
  <si>
    <t>CHQ-100</t>
  </si>
  <si>
    <t>Bank BOC / Amount 1500</t>
  </si>
  <si>
    <t>Pending cheque sale test.</t>
  </si>
  <si>
    <t>PDF</t>
  </si>
  <si>
    <t>cash-book-report.pdf</t>
  </si>
  <si>
    <t>Server-side accounting export</t>
  </si>
  <si>
    <t>Automated Livewire file download assertion.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</si>
</sst>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4B183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5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sqref="A1:J1"/>
    </sheetView>
  </sheetViews>
  <sheetFormatPr baseColWidth="10" defaultColWidth="8.83203125" defaultRowHeight="15"/>
  <cols>
    <col min="1" max="1" width="93.83203125" customWidth="1"/>
    <col min="2" max="2" width="6" bestFit="1" customWidth="1"/>
    <col min="4" max="4" width="17.5" customWidth="1"/>
    <col min="5" max="5" width="15.1640625" customWidth="1"/>
    <col min="6" max="6" width="12" customWidth="1"/>
    <col min="7" max="7" width="79" customWidth="1"/>
  </cols>
  <sheetData>
    <row r="1" spans="1:10" ht="28.7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ht="32">
      <c r="A4" s="1" t="s">
        <v>2</v>
      </c>
      <c r="B4" s="1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/>
    </row>
    <row r="5" spans="1:10" ht="20" customHeight="1">
      <c r="A5" s="2" t="s">
        <v>8</v>
      </c>
      <c r="B5" s="2">
        <f>COUNTA('Test Cases'!A2:A200)</f>
        <v>32</v>
      </c>
      <c r="D5" s="4" t="s">
        <v>9</v>
      </c>
      <c r="E5" s="4">
        <v>3</v>
      </c>
      <c r="F5" s="4">
        <v>0</v>
      </c>
      <c r="G5" s="4" t="s">
        <v>10</v>
      </c>
      <c r="H5" s="4"/>
    </row>
    <row r="6" spans="1:10" ht="16">
      <c r="A6" s="2" t="s">
        <v>5</v>
      </c>
      <c r="B6" s="2">
        <f>COUNTIF('Test Cases'!J2:J200,"Automated")</f>
        <v>28</v>
      </c>
      <c r="D6" s="4" t="s">
        <v>11</v>
      </c>
      <c r="E6" s="4">
        <v>3</v>
      </c>
      <c r="F6" s="4">
        <v>1</v>
      </c>
      <c r="G6" s="4" t="s">
        <v>12</v>
      </c>
      <c r="H6" s="4"/>
    </row>
    <row r="7" spans="1:10" ht="32">
      <c r="A7" s="2" t="s">
        <v>6</v>
      </c>
      <c r="B7" s="2">
        <f>COUNTIF('Test Cases'!J2:J200,"Manual")</f>
        <v>4</v>
      </c>
      <c r="D7" s="4" t="s">
        <v>13</v>
      </c>
      <c r="E7" s="4">
        <v>8</v>
      </c>
      <c r="F7" s="4">
        <v>1</v>
      </c>
      <c r="G7" s="4" t="s">
        <v>14</v>
      </c>
      <c r="H7" s="4"/>
    </row>
    <row r="8" spans="1:10" ht="20" customHeight="1">
      <c r="A8" s="2" t="s">
        <v>15</v>
      </c>
      <c r="B8" s="2">
        <f>COUNTIF('Test Cases'!D2:D200,"High")</f>
        <v>15</v>
      </c>
      <c r="D8" s="4" t="s">
        <v>16</v>
      </c>
      <c r="E8" s="4">
        <v>5</v>
      </c>
      <c r="F8" s="4">
        <v>0</v>
      </c>
      <c r="G8" s="4" t="s">
        <v>17</v>
      </c>
      <c r="H8" s="4"/>
    </row>
    <row r="9" spans="1:10" ht="20" customHeight="1">
      <c r="A9" s="2" t="s">
        <v>18</v>
      </c>
      <c r="B9" s="2">
        <f>COUNTIF('Test Cases'!D2:D200,"Medium")</f>
        <v>14</v>
      </c>
      <c r="D9" s="4" t="s">
        <v>19</v>
      </c>
      <c r="E9" s="4">
        <v>3</v>
      </c>
      <c r="F9" s="4">
        <v>0</v>
      </c>
      <c r="G9" s="4" t="s">
        <v>20</v>
      </c>
      <c r="H9" s="4"/>
    </row>
    <row r="10" spans="1:10" ht="20" customHeight="1">
      <c r="A10" s="2" t="s">
        <v>21</v>
      </c>
      <c r="B10" s="2">
        <f>COUNTIF('Test Cases'!D2:D200,"Low")</f>
        <v>3</v>
      </c>
      <c r="D10" s="4" t="s">
        <v>22</v>
      </c>
      <c r="E10" s="4">
        <v>4</v>
      </c>
      <c r="F10" s="4">
        <v>0</v>
      </c>
      <c r="G10" s="4" t="s">
        <v>23</v>
      </c>
      <c r="H10" s="4"/>
    </row>
    <row r="11" spans="1:10" ht="20" customHeight="1">
      <c r="D11" s="4" t="s">
        <v>24</v>
      </c>
      <c r="E11" s="4">
        <v>1</v>
      </c>
      <c r="F11" s="4">
        <v>4</v>
      </c>
      <c r="G11" s="4" t="s">
        <v>25</v>
      </c>
      <c r="H11" s="4"/>
    </row>
    <row r="12" spans="1:10" ht="20" customHeight="1">
      <c r="D12" s="4" t="s">
        <v>26</v>
      </c>
      <c r="E12" s="4">
        <v>2</v>
      </c>
      <c r="F12" s="4">
        <v>0</v>
      </c>
      <c r="G12" s="4" t="s">
        <v>27</v>
      </c>
      <c r="H12" s="4"/>
    </row>
    <row r="13" spans="1:10" ht="20" customHeight="1">
      <c r="A13" s="10" t="s">
        <v>28</v>
      </c>
      <c r="B13" s="8"/>
      <c r="C13" s="8"/>
      <c r="D13" s="8"/>
      <c r="E13" s="8"/>
      <c r="F13" s="8"/>
      <c r="G13" s="8"/>
      <c r="H13" s="8"/>
      <c r="I13" s="8"/>
      <c r="J13" s="8"/>
    </row>
    <row r="14" spans="1:10" ht="20" customHeight="1">
      <c r="A14" s="11" t="s">
        <v>29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</sheetData>
  <mergeCells count="4">
    <mergeCell ref="A1:J1"/>
    <mergeCell ref="A2:J2"/>
    <mergeCell ref="A13:J13"/>
    <mergeCell ref="A14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opLeftCell="C1" workbookViewId="0"/>
  </sheetViews>
  <sheetFormatPr baseColWidth="10" defaultColWidth="8.83203125" defaultRowHeight="15"/>
  <cols>
    <col min="1" max="1" width="10.6640625" customWidth="1"/>
    <col min="2" max="2" width="15.6640625" customWidth="1"/>
    <col min="3" max="3" width="58" customWidth="1"/>
    <col min="4" max="4" width="6.5" customWidth="1"/>
    <col min="5" max="5" width="45.83203125" customWidth="1"/>
    <col min="6" max="6" width="49" customWidth="1"/>
    <col min="7" max="7" width="75.5" customWidth="1"/>
    <col min="8" max="8" width="105" customWidth="1"/>
    <col min="9" max="9" width="37" customWidth="1"/>
    <col min="10" max="10" width="8.83203125" customWidth="1"/>
  </cols>
  <sheetData>
    <row r="1" spans="1:10" ht="20" customHeight="1">
      <c r="A1" s="5" t="s">
        <v>30</v>
      </c>
      <c r="B1" s="5" t="s">
        <v>4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</row>
    <row r="2" spans="1:10" ht="70.25" customHeight="1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</row>
    <row r="3" spans="1:10" ht="88" customHeight="1">
      <c r="A3" s="6" t="s">
        <v>49</v>
      </c>
      <c r="B3" s="6" t="s">
        <v>9</v>
      </c>
      <c r="C3" s="6" t="s">
        <v>50</v>
      </c>
      <c r="D3" s="6" t="s">
        <v>42</v>
      </c>
      <c r="E3" s="6" t="s">
        <v>51</v>
      </c>
      <c r="F3" s="6" t="s">
        <v>52</v>
      </c>
      <c r="G3" s="6" t="s">
        <v>53</v>
      </c>
      <c r="H3" s="6" t="s">
        <v>54</v>
      </c>
      <c r="I3" s="6" t="s">
        <v>55</v>
      </c>
      <c r="J3" s="6" t="s">
        <v>48</v>
      </c>
    </row>
    <row r="4" spans="1:10" ht="35.25" customHeight="1">
      <c r="A4" s="6" t="s">
        <v>56</v>
      </c>
      <c r="B4" s="6" t="s">
        <v>9</v>
      </c>
      <c r="C4" s="6" t="s">
        <v>57</v>
      </c>
      <c r="D4" s="6" t="s">
        <v>58</v>
      </c>
      <c r="E4" s="6" t="s">
        <v>59</v>
      </c>
      <c r="F4" s="6" t="s">
        <v>60</v>
      </c>
      <c r="G4" s="6" t="s">
        <v>61</v>
      </c>
      <c r="H4" s="6" t="s">
        <v>62</v>
      </c>
      <c r="I4" s="6" t="s">
        <v>55</v>
      </c>
      <c r="J4" s="6" t="s">
        <v>48</v>
      </c>
    </row>
    <row r="5" spans="1:10" ht="52.75" customHeight="1">
      <c r="A5" s="6" t="s">
        <v>63</v>
      </c>
      <c r="B5" s="6" t="s">
        <v>9</v>
      </c>
      <c r="C5" s="6" t="s">
        <v>64</v>
      </c>
      <c r="D5" s="6" t="s">
        <v>58</v>
      </c>
      <c r="E5" s="6" t="s">
        <v>65</v>
      </c>
      <c r="F5" s="6" t="s">
        <v>66</v>
      </c>
      <c r="G5" s="6" t="s">
        <v>67</v>
      </c>
      <c r="H5" s="6" t="s">
        <v>68</v>
      </c>
      <c r="I5" s="6" t="s">
        <v>69</v>
      </c>
      <c r="J5" s="6" t="s">
        <v>48</v>
      </c>
    </row>
    <row r="6" spans="1:10" ht="70.25" customHeight="1">
      <c r="A6" s="6" t="s">
        <v>70</v>
      </c>
      <c r="B6" s="6" t="s">
        <v>11</v>
      </c>
      <c r="C6" s="6" t="s">
        <v>71</v>
      </c>
      <c r="D6" s="6" t="s">
        <v>42</v>
      </c>
      <c r="E6" s="6" t="s">
        <v>72</v>
      </c>
      <c r="F6" s="6" t="s">
        <v>73</v>
      </c>
      <c r="G6" s="6" t="s">
        <v>74</v>
      </c>
      <c r="H6" s="6" t="s">
        <v>75</v>
      </c>
      <c r="I6" s="6" t="s">
        <v>76</v>
      </c>
      <c r="J6" s="6" t="s">
        <v>48</v>
      </c>
    </row>
    <row r="7" spans="1:10" ht="70.25" customHeight="1">
      <c r="A7" s="6" t="s">
        <v>77</v>
      </c>
      <c r="B7" s="6" t="s">
        <v>11</v>
      </c>
      <c r="C7" s="6" t="s">
        <v>78</v>
      </c>
      <c r="D7" s="6" t="s">
        <v>42</v>
      </c>
      <c r="E7" s="6" t="s">
        <v>79</v>
      </c>
      <c r="F7" s="6" t="s">
        <v>80</v>
      </c>
      <c r="G7" s="6" t="s">
        <v>81</v>
      </c>
      <c r="H7" s="6" t="s">
        <v>82</v>
      </c>
      <c r="I7" s="6" t="s">
        <v>76</v>
      </c>
      <c r="J7" s="6" t="s">
        <v>48</v>
      </c>
    </row>
    <row r="8" spans="1:10" ht="52.75" customHeight="1">
      <c r="A8" s="6" t="s">
        <v>83</v>
      </c>
      <c r="B8" s="6" t="s">
        <v>84</v>
      </c>
      <c r="C8" s="6" t="s">
        <v>85</v>
      </c>
      <c r="D8" s="6" t="s">
        <v>58</v>
      </c>
      <c r="E8" s="6" t="s">
        <v>86</v>
      </c>
      <c r="F8" s="6" t="s">
        <v>87</v>
      </c>
      <c r="G8" s="6" t="s">
        <v>88</v>
      </c>
      <c r="H8" s="6" t="s">
        <v>89</v>
      </c>
      <c r="I8" s="6" t="s">
        <v>90</v>
      </c>
      <c r="J8" s="6" t="s">
        <v>48</v>
      </c>
    </row>
    <row r="9" spans="1:10" ht="123.25" customHeight="1">
      <c r="A9" s="6" t="s">
        <v>91</v>
      </c>
      <c r="B9" s="6" t="s">
        <v>13</v>
      </c>
      <c r="C9" s="6" t="s">
        <v>92</v>
      </c>
      <c r="D9" s="6" t="s">
        <v>42</v>
      </c>
      <c r="E9" s="6" t="s">
        <v>93</v>
      </c>
      <c r="F9" s="6" t="s">
        <v>94</v>
      </c>
      <c r="G9" s="6" t="s">
        <v>95</v>
      </c>
      <c r="H9" s="6" t="s">
        <v>96</v>
      </c>
      <c r="I9" s="6" t="s">
        <v>76</v>
      </c>
      <c r="J9" s="6" t="s">
        <v>48</v>
      </c>
    </row>
    <row r="10" spans="1:10" ht="105.5" customHeight="1">
      <c r="A10" s="6" t="s">
        <v>97</v>
      </c>
      <c r="B10" s="6" t="s">
        <v>13</v>
      </c>
      <c r="C10" s="6" t="s">
        <v>98</v>
      </c>
      <c r="D10" s="6" t="s">
        <v>42</v>
      </c>
      <c r="E10" s="6" t="s">
        <v>99</v>
      </c>
      <c r="F10" s="6" t="s">
        <v>100</v>
      </c>
      <c r="G10" s="6" t="s">
        <v>101</v>
      </c>
      <c r="H10" s="6" t="s">
        <v>102</v>
      </c>
      <c r="I10" s="6" t="s">
        <v>76</v>
      </c>
      <c r="J10" s="6" t="s">
        <v>48</v>
      </c>
    </row>
    <row r="11" spans="1:10" ht="105.5" customHeight="1">
      <c r="A11" s="6" t="s">
        <v>103</v>
      </c>
      <c r="B11" s="6" t="s">
        <v>13</v>
      </c>
      <c r="C11" s="6" t="s">
        <v>104</v>
      </c>
      <c r="D11" s="6" t="s">
        <v>42</v>
      </c>
      <c r="E11" s="6" t="s">
        <v>105</v>
      </c>
      <c r="F11" s="6" t="s">
        <v>106</v>
      </c>
      <c r="G11" s="6" t="s">
        <v>107</v>
      </c>
      <c r="H11" s="6" t="s">
        <v>108</v>
      </c>
      <c r="I11" s="6" t="s">
        <v>76</v>
      </c>
      <c r="J11" s="6" t="s">
        <v>48</v>
      </c>
    </row>
    <row r="12" spans="1:10" ht="105.5" customHeight="1">
      <c r="A12" s="6" t="s">
        <v>109</v>
      </c>
      <c r="B12" s="6" t="s">
        <v>13</v>
      </c>
      <c r="C12" s="6" t="s">
        <v>110</v>
      </c>
      <c r="D12" s="6" t="s">
        <v>58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69</v>
      </c>
      <c r="J12" s="6" t="s">
        <v>48</v>
      </c>
    </row>
    <row r="13" spans="1:10" ht="105.5" customHeight="1">
      <c r="A13" s="6" t="s">
        <v>115</v>
      </c>
      <c r="B13" s="6" t="s">
        <v>13</v>
      </c>
      <c r="C13" s="6" t="s">
        <v>116</v>
      </c>
      <c r="D13" s="6" t="s">
        <v>58</v>
      </c>
      <c r="E13" s="6" t="s">
        <v>117</v>
      </c>
      <c r="F13" s="6" t="s">
        <v>118</v>
      </c>
      <c r="G13" s="6" t="s">
        <v>119</v>
      </c>
      <c r="H13" s="6" t="s">
        <v>120</v>
      </c>
      <c r="I13" s="6" t="s">
        <v>69</v>
      </c>
      <c r="J13" s="6" t="s">
        <v>48</v>
      </c>
    </row>
    <row r="14" spans="1:10" ht="105.5" customHeight="1">
      <c r="A14" s="6" t="s">
        <v>121</v>
      </c>
      <c r="B14" s="6" t="s">
        <v>13</v>
      </c>
      <c r="C14" s="6" t="s">
        <v>122</v>
      </c>
      <c r="D14" s="6" t="s">
        <v>58</v>
      </c>
      <c r="E14" s="6" t="s">
        <v>117</v>
      </c>
      <c r="F14" s="6" t="s">
        <v>123</v>
      </c>
      <c r="G14" s="6" t="s">
        <v>124</v>
      </c>
      <c r="H14" s="6" t="s">
        <v>125</v>
      </c>
      <c r="I14" s="6" t="s">
        <v>69</v>
      </c>
      <c r="J14" s="6" t="s">
        <v>48</v>
      </c>
    </row>
    <row r="15" spans="1:10" ht="105.5" customHeight="1">
      <c r="A15" s="6" t="s">
        <v>126</v>
      </c>
      <c r="B15" s="6" t="s">
        <v>127</v>
      </c>
      <c r="C15" s="6" t="s">
        <v>128</v>
      </c>
      <c r="D15" s="6" t="s">
        <v>42</v>
      </c>
      <c r="E15" s="6" t="s">
        <v>129</v>
      </c>
      <c r="F15" s="6" t="s">
        <v>130</v>
      </c>
      <c r="G15" s="6" t="s">
        <v>131</v>
      </c>
      <c r="H15" s="6" t="s">
        <v>132</v>
      </c>
      <c r="I15" s="6" t="s">
        <v>69</v>
      </c>
      <c r="J15" s="6" t="s">
        <v>48</v>
      </c>
    </row>
    <row r="16" spans="1:10" ht="105.5" customHeight="1">
      <c r="A16" s="6" t="s">
        <v>133</v>
      </c>
      <c r="B16" s="6" t="s">
        <v>127</v>
      </c>
      <c r="C16" s="6" t="s">
        <v>134</v>
      </c>
      <c r="D16" s="6" t="s">
        <v>42</v>
      </c>
      <c r="E16" s="6" t="s">
        <v>135</v>
      </c>
      <c r="F16" s="6" t="s">
        <v>136</v>
      </c>
      <c r="G16" s="6" t="s">
        <v>137</v>
      </c>
      <c r="H16" s="6" t="s">
        <v>138</v>
      </c>
      <c r="I16" s="6" t="s">
        <v>69</v>
      </c>
      <c r="J16" s="6" t="s">
        <v>48</v>
      </c>
    </row>
    <row r="17" spans="1:10" ht="35.25" customHeight="1">
      <c r="A17" s="6" t="s">
        <v>139</v>
      </c>
      <c r="B17" s="6" t="s">
        <v>140</v>
      </c>
      <c r="C17" s="6" t="s">
        <v>141</v>
      </c>
      <c r="D17" s="6" t="s">
        <v>42</v>
      </c>
      <c r="E17" s="6" t="s">
        <v>142</v>
      </c>
      <c r="F17" s="6" t="s">
        <v>143</v>
      </c>
      <c r="G17" s="6" t="s">
        <v>144</v>
      </c>
      <c r="H17" s="6" t="s">
        <v>145</v>
      </c>
      <c r="I17" s="6" t="s">
        <v>146</v>
      </c>
      <c r="J17" s="6" t="s">
        <v>48</v>
      </c>
    </row>
    <row r="18" spans="1:10" ht="35.25" customHeight="1">
      <c r="A18" s="6" t="s">
        <v>147</v>
      </c>
      <c r="B18" s="6" t="s">
        <v>140</v>
      </c>
      <c r="C18" s="6" t="s">
        <v>148</v>
      </c>
      <c r="D18" s="6" t="s">
        <v>42</v>
      </c>
      <c r="E18" s="6" t="s">
        <v>142</v>
      </c>
      <c r="F18" s="6" t="s">
        <v>149</v>
      </c>
      <c r="G18" s="6" t="s">
        <v>144</v>
      </c>
      <c r="H18" s="6" t="s">
        <v>150</v>
      </c>
      <c r="I18" s="6" t="s">
        <v>146</v>
      </c>
      <c r="J18" s="6" t="s">
        <v>48</v>
      </c>
    </row>
    <row r="19" spans="1:10" ht="35.25" customHeight="1">
      <c r="A19" s="6" t="s">
        <v>151</v>
      </c>
      <c r="B19" s="6" t="s">
        <v>140</v>
      </c>
      <c r="C19" s="6" t="s">
        <v>152</v>
      </c>
      <c r="D19" s="6" t="s">
        <v>58</v>
      </c>
      <c r="E19" s="6" t="s">
        <v>153</v>
      </c>
      <c r="F19" s="6" t="s">
        <v>154</v>
      </c>
      <c r="G19" s="6" t="s">
        <v>155</v>
      </c>
      <c r="H19" s="6" t="s">
        <v>156</v>
      </c>
      <c r="I19" s="6" t="s">
        <v>146</v>
      </c>
      <c r="J19" s="6" t="s">
        <v>48</v>
      </c>
    </row>
    <row r="20" spans="1:10" ht="105.5" customHeight="1">
      <c r="A20" s="6" t="s">
        <v>157</v>
      </c>
      <c r="B20" s="6" t="s">
        <v>158</v>
      </c>
      <c r="C20" s="6" t="s">
        <v>159</v>
      </c>
      <c r="D20" s="6" t="s">
        <v>42</v>
      </c>
      <c r="E20" s="6" t="s">
        <v>160</v>
      </c>
      <c r="F20" s="6" t="s">
        <v>161</v>
      </c>
      <c r="G20" s="6" t="s">
        <v>162</v>
      </c>
      <c r="H20" s="6" t="s">
        <v>163</v>
      </c>
      <c r="I20" s="6" t="s">
        <v>76</v>
      </c>
      <c r="J20" s="6" t="s">
        <v>48</v>
      </c>
    </row>
    <row r="21" spans="1:10" ht="105.5" customHeight="1">
      <c r="A21" s="6" t="s">
        <v>164</v>
      </c>
      <c r="B21" s="6" t="s">
        <v>19</v>
      </c>
      <c r="C21" s="6" t="s">
        <v>165</v>
      </c>
      <c r="D21" s="6" t="s">
        <v>42</v>
      </c>
      <c r="E21" s="6" t="s">
        <v>166</v>
      </c>
      <c r="F21" s="6" t="s">
        <v>167</v>
      </c>
      <c r="G21" s="6" t="s">
        <v>168</v>
      </c>
      <c r="H21" s="6" t="s">
        <v>169</v>
      </c>
      <c r="I21" s="6" t="s">
        <v>76</v>
      </c>
      <c r="J21" s="6" t="s">
        <v>48</v>
      </c>
    </row>
    <row r="22" spans="1:10" ht="52.75" customHeight="1">
      <c r="A22" s="6" t="s">
        <v>170</v>
      </c>
      <c r="B22" s="6" t="s">
        <v>19</v>
      </c>
      <c r="C22" s="6" t="s">
        <v>171</v>
      </c>
      <c r="D22" s="6" t="s">
        <v>58</v>
      </c>
      <c r="E22" s="6" t="s">
        <v>172</v>
      </c>
      <c r="F22" s="6" t="s">
        <v>173</v>
      </c>
      <c r="G22" s="6" t="s">
        <v>174</v>
      </c>
      <c r="H22" s="6" t="s">
        <v>175</v>
      </c>
      <c r="I22" s="6" t="s">
        <v>176</v>
      </c>
      <c r="J22" s="6" t="s">
        <v>48</v>
      </c>
    </row>
    <row r="23" spans="1:10" ht="52.75" customHeight="1">
      <c r="A23" s="6" t="s">
        <v>177</v>
      </c>
      <c r="B23" s="6" t="s">
        <v>19</v>
      </c>
      <c r="C23" s="6" t="s">
        <v>178</v>
      </c>
      <c r="D23" s="6" t="s">
        <v>179</v>
      </c>
      <c r="E23" s="6" t="s">
        <v>180</v>
      </c>
      <c r="F23" s="6" t="s">
        <v>181</v>
      </c>
      <c r="G23" s="6" t="s">
        <v>182</v>
      </c>
      <c r="H23" s="6" t="s">
        <v>183</v>
      </c>
      <c r="I23" s="6" t="s">
        <v>176</v>
      </c>
      <c r="J23" s="6" t="s">
        <v>48</v>
      </c>
    </row>
    <row r="24" spans="1:10" ht="52.75" customHeight="1">
      <c r="A24" s="6" t="s">
        <v>184</v>
      </c>
      <c r="B24" s="6" t="s">
        <v>185</v>
      </c>
      <c r="C24" s="6" t="s">
        <v>186</v>
      </c>
      <c r="D24" s="6" t="s">
        <v>58</v>
      </c>
      <c r="E24" s="6" t="s">
        <v>187</v>
      </c>
      <c r="F24" s="6" t="s">
        <v>188</v>
      </c>
      <c r="G24" s="6" t="s">
        <v>189</v>
      </c>
      <c r="H24" s="6" t="s">
        <v>190</v>
      </c>
      <c r="I24" s="6" t="s">
        <v>191</v>
      </c>
      <c r="J24" s="6" t="s">
        <v>192</v>
      </c>
    </row>
    <row r="25" spans="1:10" ht="70.25" customHeight="1">
      <c r="A25" s="6" t="s">
        <v>193</v>
      </c>
      <c r="B25" s="6" t="s">
        <v>194</v>
      </c>
      <c r="C25" s="6" t="s">
        <v>195</v>
      </c>
      <c r="D25" s="6" t="s">
        <v>58</v>
      </c>
      <c r="E25" s="6" t="s">
        <v>196</v>
      </c>
      <c r="F25" s="6" t="s">
        <v>197</v>
      </c>
      <c r="G25" s="6" t="s">
        <v>198</v>
      </c>
      <c r="H25" s="6" t="s">
        <v>199</v>
      </c>
      <c r="I25" s="6" t="s">
        <v>200</v>
      </c>
      <c r="J25" s="6" t="s">
        <v>192</v>
      </c>
    </row>
    <row r="26" spans="1:10" ht="70.25" customHeight="1">
      <c r="A26" s="6" t="s">
        <v>201</v>
      </c>
      <c r="B26" s="6" t="s">
        <v>202</v>
      </c>
      <c r="C26" s="6" t="s">
        <v>203</v>
      </c>
      <c r="D26" s="6" t="s">
        <v>58</v>
      </c>
      <c r="E26" s="6" t="s">
        <v>204</v>
      </c>
      <c r="F26" s="6" t="s">
        <v>205</v>
      </c>
      <c r="G26" s="6" t="s">
        <v>206</v>
      </c>
      <c r="H26" s="6" t="s">
        <v>207</v>
      </c>
      <c r="I26" s="6" t="s">
        <v>200</v>
      </c>
      <c r="J26" s="6" t="s">
        <v>192</v>
      </c>
    </row>
    <row r="27" spans="1:10" ht="52.75" customHeight="1">
      <c r="A27" s="6" t="s">
        <v>208</v>
      </c>
      <c r="B27" s="6" t="s">
        <v>209</v>
      </c>
      <c r="C27" s="6" t="s">
        <v>210</v>
      </c>
      <c r="D27" s="6" t="s">
        <v>42</v>
      </c>
      <c r="E27" s="6" t="s">
        <v>211</v>
      </c>
      <c r="F27" s="6" t="s">
        <v>212</v>
      </c>
      <c r="G27" s="6" t="s">
        <v>213</v>
      </c>
      <c r="H27" s="6" t="s">
        <v>214</v>
      </c>
      <c r="I27" s="6" t="s">
        <v>76</v>
      </c>
      <c r="J27" s="6" t="s">
        <v>48</v>
      </c>
    </row>
    <row r="28" spans="1:10" ht="52.75" customHeight="1">
      <c r="A28" s="6" t="s">
        <v>215</v>
      </c>
      <c r="B28" s="6" t="s">
        <v>216</v>
      </c>
      <c r="C28" s="6" t="s">
        <v>217</v>
      </c>
      <c r="D28" s="6" t="s">
        <v>58</v>
      </c>
      <c r="E28" s="6" t="s">
        <v>72</v>
      </c>
      <c r="F28" s="6" t="s">
        <v>218</v>
      </c>
      <c r="G28" s="6" t="s">
        <v>219</v>
      </c>
      <c r="H28" s="6" t="s">
        <v>220</v>
      </c>
      <c r="I28" s="6" t="s">
        <v>221</v>
      </c>
      <c r="J28" s="6" t="s">
        <v>48</v>
      </c>
    </row>
    <row r="29" spans="1:10" ht="88" customHeight="1">
      <c r="A29" s="6" t="s">
        <v>222</v>
      </c>
      <c r="B29" s="6" t="s">
        <v>216</v>
      </c>
      <c r="C29" s="6" t="s">
        <v>223</v>
      </c>
      <c r="D29" s="6" t="s">
        <v>58</v>
      </c>
      <c r="E29" s="6" t="s">
        <v>224</v>
      </c>
      <c r="F29" s="6" t="s">
        <v>225</v>
      </c>
      <c r="G29" s="6" t="s">
        <v>226</v>
      </c>
      <c r="H29" s="6" t="s">
        <v>227</v>
      </c>
      <c r="I29" s="6" t="s">
        <v>221</v>
      </c>
      <c r="J29" s="6" t="s">
        <v>48</v>
      </c>
    </row>
    <row r="30" spans="1:10" ht="88" customHeight="1">
      <c r="A30" s="6" t="s">
        <v>228</v>
      </c>
      <c r="B30" s="6" t="s">
        <v>229</v>
      </c>
      <c r="C30" s="6" t="s">
        <v>230</v>
      </c>
      <c r="D30" s="6" t="s">
        <v>42</v>
      </c>
      <c r="E30" s="6" t="s">
        <v>231</v>
      </c>
      <c r="F30" s="6" t="s">
        <v>232</v>
      </c>
      <c r="G30" s="6" t="s">
        <v>233</v>
      </c>
      <c r="H30" s="6" t="s">
        <v>234</v>
      </c>
      <c r="I30" s="6" t="s">
        <v>235</v>
      </c>
      <c r="J30" s="6" t="s">
        <v>48</v>
      </c>
    </row>
    <row r="31" spans="1:10" ht="52.75" customHeight="1">
      <c r="A31" s="6" t="s">
        <v>236</v>
      </c>
      <c r="B31" s="6" t="s">
        <v>237</v>
      </c>
      <c r="C31" s="6" t="s">
        <v>238</v>
      </c>
      <c r="D31" s="6" t="s">
        <v>58</v>
      </c>
      <c r="E31" s="6" t="s">
        <v>239</v>
      </c>
      <c r="F31" s="6" t="s">
        <v>240</v>
      </c>
      <c r="G31" s="6" t="s">
        <v>241</v>
      </c>
      <c r="H31" s="6" t="s">
        <v>242</v>
      </c>
      <c r="I31" s="6" t="s">
        <v>243</v>
      </c>
      <c r="J31" s="6" t="s">
        <v>192</v>
      </c>
    </row>
    <row r="32" spans="1:10" ht="52.75" customHeight="1">
      <c r="A32" s="6" t="s">
        <v>244</v>
      </c>
      <c r="B32" s="6" t="s">
        <v>245</v>
      </c>
      <c r="C32" s="6" t="s">
        <v>246</v>
      </c>
      <c r="D32" s="6" t="s">
        <v>179</v>
      </c>
      <c r="E32" s="6" t="s">
        <v>247</v>
      </c>
      <c r="F32" s="6" t="s">
        <v>248</v>
      </c>
      <c r="G32" s="6" t="s">
        <v>249</v>
      </c>
      <c r="H32" s="6" t="s">
        <v>250</v>
      </c>
      <c r="I32" s="6" t="s">
        <v>251</v>
      </c>
      <c r="J32" s="6" t="s">
        <v>48</v>
      </c>
    </row>
    <row r="33" spans="1:10" ht="52.75" customHeight="1">
      <c r="A33" s="6" t="s">
        <v>252</v>
      </c>
      <c r="B33" s="6" t="s">
        <v>253</v>
      </c>
      <c r="C33" s="6" t="s">
        <v>254</v>
      </c>
      <c r="D33" s="6" t="s">
        <v>179</v>
      </c>
      <c r="E33" s="6" t="s">
        <v>72</v>
      </c>
      <c r="F33" s="6" t="s">
        <v>255</v>
      </c>
      <c r="G33" s="6" t="s">
        <v>256</v>
      </c>
      <c r="H33" s="6" t="s">
        <v>257</v>
      </c>
      <c r="I33" s="6" t="s">
        <v>258</v>
      </c>
      <c r="J33" s="6" t="s">
        <v>48</v>
      </c>
    </row>
  </sheetData>
  <conditionalFormatting sqref="D2:D33">
    <cfRule type="containsText" dxfId="2" priority="1" operator="containsText" text="High"/>
  </conditionalFormatting>
  <conditionalFormatting sqref="J2:J33">
    <cfRule type="containsText" dxfId="1" priority="2" operator="containsText" text="Automated"/>
    <cfRule type="containsText" dxfId="0" priority="3" operator="containsText" text="Manual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83203125" defaultRowHeight="15"/>
  <cols>
    <col min="1" max="1" width="7.83203125" customWidth="1"/>
    <col min="2" max="2" width="25.83203125" customWidth="1"/>
    <col min="3" max="3" width="26.5" customWidth="1"/>
    <col min="4" max="4" width="57.83203125" customWidth="1"/>
  </cols>
  <sheetData>
    <row r="1" spans="1:4" ht="16">
      <c r="A1" s="5" t="s">
        <v>259</v>
      </c>
      <c r="B1" s="5" t="s">
        <v>260</v>
      </c>
      <c r="C1" s="5" t="s">
        <v>3</v>
      </c>
      <c r="D1" s="5" t="s">
        <v>28</v>
      </c>
    </row>
    <row r="2" spans="1:4" ht="32">
      <c r="A2" s="6" t="s">
        <v>261</v>
      </c>
      <c r="B2" s="6" t="s">
        <v>262</v>
      </c>
      <c r="C2" s="6" t="s">
        <v>263</v>
      </c>
      <c r="D2" s="6" t="s">
        <v>264</v>
      </c>
    </row>
    <row r="3" spans="1:4" ht="32">
      <c r="A3" s="6" t="s">
        <v>11</v>
      </c>
      <c r="B3" s="6" t="s">
        <v>265</v>
      </c>
      <c r="C3" s="6">
        <v>750</v>
      </c>
      <c r="D3" s="6" t="s">
        <v>266</v>
      </c>
    </row>
    <row r="4" spans="1:4" ht="32">
      <c r="A4" s="6" t="s">
        <v>11</v>
      </c>
      <c r="B4" s="6" t="s">
        <v>267</v>
      </c>
      <c r="C4" s="6" t="s">
        <v>268</v>
      </c>
      <c r="D4" s="6" t="s">
        <v>269</v>
      </c>
    </row>
    <row r="5" spans="1:4" ht="16">
      <c r="A5" s="6" t="s">
        <v>9</v>
      </c>
      <c r="B5" s="6" t="s">
        <v>270</v>
      </c>
      <c r="C5" s="6" t="s">
        <v>271</v>
      </c>
      <c r="D5" s="6" t="s">
        <v>272</v>
      </c>
    </row>
    <row r="6" spans="1:4" ht="20" customHeight="1">
      <c r="A6" s="6" t="s">
        <v>9</v>
      </c>
      <c r="B6" s="6" t="s">
        <v>273</v>
      </c>
      <c r="C6" s="6" t="s">
        <v>274</v>
      </c>
      <c r="D6" s="6" t="s">
        <v>275</v>
      </c>
    </row>
    <row r="7" spans="1:4" ht="20" customHeight="1">
      <c r="A7" s="6" t="s">
        <v>9</v>
      </c>
      <c r="B7" s="6" t="s">
        <v>276</v>
      </c>
      <c r="C7" s="6" t="s">
        <v>277</v>
      </c>
      <c r="D7" s="6" t="s">
        <v>278</v>
      </c>
    </row>
    <row r="8" spans="1:4" ht="32">
      <c r="A8" s="6" t="s">
        <v>279</v>
      </c>
      <c r="B8" s="6" t="s">
        <v>280</v>
      </c>
      <c r="C8" s="6">
        <v>0</v>
      </c>
      <c r="D8" s="6" t="s">
        <v>281</v>
      </c>
    </row>
    <row r="9" spans="1:4" ht="32">
      <c r="A9" s="6" t="s">
        <v>282</v>
      </c>
      <c r="B9" s="6" t="s">
        <v>283</v>
      </c>
      <c r="C9" s="6" t="s">
        <v>284</v>
      </c>
      <c r="D9" s="6" t="s">
        <v>285</v>
      </c>
    </row>
    <row r="10" spans="1:4" ht="20" customHeight="1">
      <c r="A10" s="6" t="s">
        <v>16</v>
      </c>
      <c r="B10" s="6" t="s">
        <v>286</v>
      </c>
      <c r="C10" s="6" t="s">
        <v>287</v>
      </c>
      <c r="D10" s="6" t="s">
        <v>288</v>
      </c>
    </row>
    <row r="11" spans="1:4" ht="20" customHeight="1">
      <c r="A11" s="6" t="s">
        <v>289</v>
      </c>
      <c r="B11" s="6" t="s">
        <v>290</v>
      </c>
      <c r="C11" s="6" t="s">
        <v>291</v>
      </c>
      <c r="D11" s="6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baseColWidth="10" defaultColWidth="8.83203125" defaultRowHeight="15"/>
  <cols>
    <col min="1" max="1" width="17.5" customWidth="1"/>
    <col min="2" max="2" width="15.1640625" customWidth="1"/>
    <col min="3" max="3" width="12" customWidth="1"/>
    <col min="4" max="4" width="79" customWidth="1"/>
  </cols>
  <sheetData>
    <row r="1" spans="1:4" ht="20" customHeight="1">
      <c r="A1" s="5" t="s">
        <v>4</v>
      </c>
      <c r="B1" s="5" t="s">
        <v>5</v>
      </c>
      <c r="C1" s="5" t="s">
        <v>6</v>
      </c>
      <c r="D1" s="5" t="s">
        <v>7</v>
      </c>
    </row>
    <row r="2" spans="1:4" ht="20" customHeight="1">
      <c r="A2" s="6" t="s">
        <v>9</v>
      </c>
      <c r="B2" s="6">
        <v>3</v>
      </c>
      <c r="C2" s="6">
        <v>0</v>
      </c>
      <c r="D2" s="6" t="s">
        <v>10</v>
      </c>
    </row>
    <row r="3" spans="1:4" ht="20" customHeight="1">
      <c r="A3" s="6" t="s">
        <v>11</v>
      </c>
      <c r="B3" s="6">
        <v>3</v>
      </c>
      <c r="C3" s="6">
        <v>1</v>
      </c>
      <c r="D3" s="6" t="s">
        <v>12</v>
      </c>
    </row>
    <row r="4" spans="1:4" ht="20" customHeight="1">
      <c r="A4" s="6" t="s">
        <v>13</v>
      </c>
      <c r="B4" s="6">
        <v>8</v>
      </c>
      <c r="C4" s="6">
        <v>1</v>
      </c>
      <c r="D4" s="6" t="s">
        <v>14</v>
      </c>
    </row>
    <row r="5" spans="1:4" ht="20" customHeight="1">
      <c r="A5" s="6" t="s">
        <v>16</v>
      </c>
      <c r="B5" s="6">
        <v>5</v>
      </c>
      <c r="C5" s="6">
        <v>0</v>
      </c>
      <c r="D5" s="6" t="s">
        <v>17</v>
      </c>
    </row>
    <row r="6" spans="1:4" ht="20" customHeight="1">
      <c r="A6" s="6" t="s">
        <v>19</v>
      </c>
      <c r="B6" s="6">
        <v>3</v>
      </c>
      <c r="C6" s="6">
        <v>0</v>
      </c>
      <c r="D6" s="6" t="s">
        <v>20</v>
      </c>
    </row>
    <row r="7" spans="1:4" ht="20" customHeight="1">
      <c r="A7" s="6" t="s">
        <v>22</v>
      </c>
      <c r="B7" s="6">
        <v>4</v>
      </c>
      <c r="C7" s="6">
        <v>0</v>
      </c>
      <c r="D7" s="6" t="s">
        <v>23</v>
      </c>
    </row>
    <row r="8" spans="1:4" ht="20" customHeight="1">
      <c r="A8" s="6" t="s">
        <v>24</v>
      </c>
      <c r="B8" s="6">
        <v>1</v>
      </c>
      <c r="C8" s="6">
        <v>4</v>
      </c>
      <c r="D8" s="6" t="s">
        <v>25</v>
      </c>
    </row>
    <row r="9" spans="1:4" ht="20" customHeight="1">
      <c r="A9" s="6" t="s">
        <v>26</v>
      </c>
      <c r="B9" s="6">
        <v>2</v>
      </c>
      <c r="C9" s="6">
        <v>0</v>
      </c>
      <c r="D9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Test Data</vt:lpstr>
      <vt:lpstr>Coverage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a88164</cp:lastModifiedBy>
  <dcterms:modified xsi:type="dcterms:W3CDTF">2026-05-24T02:21:38Z</dcterms:modified>
</cp:coreProperties>
</file>